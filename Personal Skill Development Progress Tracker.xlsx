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ight Tech\OneDrive\Desktop\PROJECTS OF DATA ANALYTICS COURSE\"/>
    </mc:Choice>
  </mc:AlternateContent>
  <xr:revisionPtr revIDLastSave="0" documentId="13_ncr:1_{BB573D25-EBDE-4B98-BB0F-40BF6A60EA00}" xr6:coauthVersionLast="47" xr6:coauthVersionMax="47" xr10:uidLastSave="{00000000-0000-0000-0000-000000000000}"/>
  <bookViews>
    <workbookView xWindow="-120" yWindow="-120" windowWidth="24240" windowHeight="13140" activeTab="6" xr2:uid="{71FF04BC-B702-4CF4-9B98-AE135C2BAE9E}"/>
  </bookViews>
  <sheets>
    <sheet name="Data" sheetId="1" r:id="rId1"/>
    <sheet name="Skill Analysis" sheetId="8" r:id="rId2"/>
    <sheet name="Lists" sheetId="3" r:id="rId3"/>
    <sheet name="Detail1" sheetId="5" state="hidden" r:id="rId4"/>
    <sheet name="Detail2" sheetId="6" state="hidden" r:id="rId5"/>
    <sheet name="Analysis" sheetId="4" r:id="rId6"/>
    <sheet name="Dashboard" sheetId="2" r:id="rId7"/>
  </sheets>
  <definedNames>
    <definedName name="_100">Data!$L$5:$L$9</definedName>
    <definedName name="_17_Aug">Data!$E$5:$E$9</definedName>
    <definedName name="Actual_Hours">Data!$I$4:$I$9</definedName>
    <definedName name="Completed">Data!$J$5:$J$9</definedName>
    <definedName name="Date">Data!$E$4:$E$9</definedName>
    <definedName name="Excel">Data!$F$5:$F$9</definedName>
    <definedName name="Hour_Variance">Data!$M$4:$M$9</definedName>
    <definedName name="NativeTimeline_Date">#N/A</definedName>
    <definedName name="Pivot_Tables">Data!$G$5:$G$9</definedName>
    <definedName name="Planned_Hours">Data!$H$4:$H$9</definedName>
    <definedName name="Progress">Data!$L$4:$L$9</definedName>
    <definedName name="Score">Data!$K$4:$K$9</definedName>
    <definedName name="Skill">Data!$F$4:$F$9</definedName>
    <definedName name="Slicer_Skill">#N/A</definedName>
    <definedName name="Slicer_Status">#N/A</definedName>
    <definedName name="Status">Data!$J$4:$J$9</definedName>
    <definedName name="Topic">Data!$G$4:$G$9</definedName>
  </definedNames>
  <calcPr calcId="191029"/>
  <pivotCaches>
    <pivotCache cacheId="7"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1" l="1"/>
  <c r="L6" i="1"/>
  <c r="L7" i="1"/>
  <c r="L8" i="1"/>
  <c r="L9" i="1"/>
  <c r="L4" i="1"/>
  <c r="P5" i="2"/>
  <c r="D10" i="4"/>
  <c r="M5" i="2"/>
  <c r="D6" i="4"/>
  <c r="J5" i="2"/>
  <c r="D4" i="4"/>
  <c r="D16" i="4"/>
  <c r="D4" i="2"/>
  <c r="D12" i="4"/>
  <c r="D14" i="4"/>
  <c r="A5" i="2"/>
  <c r="M4" i="1"/>
  <c r="M5" i="1"/>
  <c r="M6" i="1"/>
  <c r="M7" i="1"/>
  <c r="M8" i="1"/>
  <c r="M9" i="1"/>
  <c r="G5" i="2" l="1"/>
  <c r="D8" i="4"/>
</calcChain>
</file>

<file path=xl/sharedStrings.xml><?xml version="1.0" encoding="utf-8"?>
<sst xmlns="http://schemas.openxmlformats.org/spreadsheetml/2006/main" count="117" uniqueCount="44">
  <si>
    <t>Date</t>
  </si>
  <si>
    <t>Skill</t>
  </si>
  <si>
    <t>Topic</t>
  </si>
  <si>
    <t>Planned Hours</t>
  </si>
  <si>
    <t>Actual Hours</t>
  </si>
  <si>
    <t>Status</t>
  </si>
  <si>
    <t>Score %</t>
  </si>
  <si>
    <t>Excel</t>
  </si>
  <si>
    <t>Pivot Tables</t>
  </si>
  <si>
    <t>Completed</t>
  </si>
  <si>
    <t>SQL</t>
  </si>
  <si>
    <t>SELECT &amp; WHERE</t>
  </si>
  <si>
    <t>In Progress</t>
  </si>
  <si>
    <t>Power BI</t>
  </si>
  <si>
    <t>Data Cleaning</t>
  </si>
  <si>
    <t>Python</t>
  </si>
  <si>
    <t>Variables</t>
  </si>
  <si>
    <t>XLOOKUP</t>
  </si>
  <si>
    <t>GROUP BY</t>
  </si>
  <si>
    <t>Not Started</t>
  </si>
  <si>
    <t>Skills List</t>
  </si>
  <si>
    <t>Data Analytics</t>
  </si>
  <si>
    <t>Communication</t>
  </si>
  <si>
    <t>Status List</t>
  </si>
  <si>
    <t>Hour Variance</t>
  </si>
  <si>
    <t xml:space="preserve">Total Planned Hours </t>
  </si>
  <si>
    <t>Total Actual Hours</t>
  </si>
  <si>
    <t>Overall Progress</t>
  </si>
  <si>
    <t xml:space="preserve">Progress </t>
  </si>
  <si>
    <t>Average Score</t>
  </si>
  <si>
    <t>Completed Tasks</t>
  </si>
  <si>
    <t>Total Tasks</t>
  </si>
  <si>
    <t>Completion Rate</t>
  </si>
  <si>
    <t>Row Labels</t>
  </si>
  <si>
    <t>Grand Total</t>
  </si>
  <si>
    <t>Sum of Actual Hours</t>
  </si>
  <si>
    <t>100%</t>
  </si>
  <si>
    <t>Details for Average of Progress  - Skill: Excel</t>
  </si>
  <si>
    <t>Details for Sum of Actual Hours - Skill: Excel</t>
  </si>
  <si>
    <t>Sum of Planned Hours</t>
  </si>
  <si>
    <t>Count of Topic</t>
  </si>
  <si>
    <t>Column Labels</t>
  </si>
  <si>
    <t>Personal Skill Development Progress Track</t>
  </si>
  <si>
    <t xml:space="preserve">Average of Progress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</si>
</sst>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w Cen MT"/>
      <family val="2"/>
      <scheme val="minor"/>
    </font>
    <font>
      <b/>
      <sz val="11"/>
      <color theme="1"/>
      <name val="Tw Cen MT"/>
      <family val="2"/>
      <scheme val="minor"/>
    </font>
    <font>
      <sz val="11"/>
      <color theme="1"/>
      <name val="Tw Cen MT"/>
      <family val="2"/>
      <scheme val="minor"/>
    </font>
    <font>
      <b/>
      <sz val="28"/>
      <color theme="1"/>
      <name val="Tw Cen MT"/>
      <family val="2"/>
      <scheme val="minor"/>
    </font>
    <font>
      <b/>
      <sz val="12"/>
      <color theme="1"/>
      <name val="Tw Cen MT"/>
      <family val="2"/>
      <scheme val="minor"/>
    </font>
    <font>
      <b/>
      <sz val="14"/>
      <color theme="1"/>
      <name val="Tw Cen MT"/>
      <family val="2"/>
      <scheme val="minor"/>
    </font>
    <font>
      <b/>
      <sz val="14"/>
      <color rgb="FFFF0000"/>
      <name val="Tw Cen MT"/>
      <family val="2"/>
      <scheme val="minor"/>
    </font>
    <font>
      <b/>
      <sz val="28"/>
      <color rgb="FFFF0000"/>
      <name val="Tw Cen MT"/>
      <family val="2"/>
      <scheme val="minor"/>
    </font>
    <font>
      <b/>
      <sz val="22"/>
      <color theme="3"/>
      <name val="Abadi"/>
      <family val="2"/>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6" fontId="0" fillId="0" borderId="0" xfId="0" applyNumberFormat="1" applyAlignment="1">
      <alignment horizontal="center" vertical="center" wrapText="1"/>
    </xf>
    <xf numFmtId="9" fontId="0" fillId="0" borderId="0" xfId="0" applyNumberFormat="1"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14" fontId="0" fillId="0" borderId="0" xfId="0" applyNumberFormat="1"/>
    <xf numFmtId="0" fontId="1" fillId="0" borderId="0" xfId="0" applyFont="1"/>
    <xf numFmtId="9" fontId="0" fillId="0" borderId="0" xfId="1" applyFont="1"/>
    <xf numFmtId="2" fontId="0" fillId="0" borderId="0" xfId="0" applyNumberFormat="1"/>
    <xf numFmtId="9" fontId="0" fillId="0" borderId="0" xfId="1" applyFont="1" applyAlignment="1">
      <alignment horizontal="center"/>
    </xf>
    <xf numFmtId="0" fontId="0" fillId="0" borderId="0" xfId="0" applyAlignment="1"/>
    <xf numFmtId="0" fontId="0" fillId="0" borderId="0" xfId="0" applyNumberFormat="1"/>
    <xf numFmtId="16" fontId="0" fillId="0" borderId="0" xfId="0" applyNumberFormat="1" applyAlignment="1">
      <alignment horizontal="left"/>
    </xf>
    <xf numFmtId="9" fontId="0" fillId="0" borderId="0" xfId="0" applyNumberFormat="1"/>
    <xf numFmtId="0" fontId="5" fillId="0" borderId="0" xfId="0" applyFont="1" applyFill="1" applyAlignment="1">
      <alignment vertical="center"/>
    </xf>
    <xf numFmtId="0" fontId="3" fillId="0" borderId="0" xfId="0" applyFont="1" applyFill="1" applyAlignment="1">
      <alignment vertical="center"/>
    </xf>
    <xf numFmtId="0" fontId="5" fillId="0" borderId="0" xfId="0" applyFont="1" applyFill="1" applyBorder="1" applyAlignment="1">
      <alignment vertical="center"/>
    </xf>
    <xf numFmtId="0" fontId="3" fillId="0" borderId="0" xfId="0" applyFont="1" applyFill="1" applyBorder="1" applyAlignment="1">
      <alignment vertical="center"/>
    </xf>
    <xf numFmtId="0" fontId="6" fillId="0" borderId="0" xfId="0" applyFont="1" applyFill="1" applyAlignment="1">
      <alignment vertical="center"/>
    </xf>
    <xf numFmtId="0" fontId="7" fillId="0" borderId="0" xfId="0" applyFont="1" applyFill="1" applyAlignment="1">
      <alignmen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9" fontId="3" fillId="2" borderId="0" xfId="1" applyFont="1" applyFill="1" applyAlignment="1">
      <alignment horizontal="center" vertical="center"/>
    </xf>
    <xf numFmtId="0" fontId="8" fillId="3" borderId="0" xfId="0" applyFont="1" applyFill="1" applyAlignment="1">
      <alignment horizontal="left" vertical="center"/>
    </xf>
  </cellXfs>
  <cellStyles count="2">
    <cellStyle name="Normal" xfId="0" builtinId="0"/>
    <cellStyle name="Percent" xfId="1" builtinId="5"/>
  </cellStyles>
  <dxfs count="17">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13" formatCode="0%"/>
    </dxf>
    <dxf>
      <numFmt numFmtId="13" formatCode="0%"/>
      <alignment horizontal="center" textRotation="0" indent="0" justifyLastLine="0" shrinkToFit="0" readingOrder="0"/>
    </dxf>
    <dxf>
      <numFmt numFmtId="19" formatCode="m/d/yyyy"/>
    </dxf>
    <dxf>
      <numFmt numFmtId="19" formatCode="m/d/yyyy"/>
    </dxf>
    <dxf>
      <numFmt numFmtId="0" formatCode="General"/>
      <alignment horizontal="center" textRotation="0" indent="0" justifyLastLine="0" shrinkToFit="0" readingOrder="0"/>
    </dxf>
    <dxf>
      <numFmt numFmtId="13"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21" formatCode="d\-mmm"/>
      <alignment horizontal="center" vertical="center" textRotation="0" wrapText="1"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theme="1"/>
        <name val="Tw Cen MT"/>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Skill Development Progress Tracker.xlsx]Skill Analysis!PivotTable3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Skill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Analysis'!$B$3</c:f>
              <c:strCache>
                <c:ptCount val="1"/>
                <c:pt idx="0">
                  <c:v>Sum of Planned Hours</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'Skill Analysis'!$A$4:$A$8</c:f>
              <c:strCache>
                <c:ptCount val="4"/>
                <c:pt idx="0">
                  <c:v>Excel</c:v>
                </c:pt>
                <c:pt idx="1">
                  <c:v>Power BI</c:v>
                </c:pt>
                <c:pt idx="2">
                  <c:v>Python</c:v>
                </c:pt>
                <c:pt idx="3">
                  <c:v>SQL</c:v>
                </c:pt>
              </c:strCache>
            </c:strRef>
          </c:cat>
          <c:val>
            <c:numRef>
              <c:f>'Skill Analysis'!$B$4:$B$8</c:f>
              <c:numCache>
                <c:formatCode>General</c:formatCode>
                <c:ptCount val="4"/>
                <c:pt idx="0">
                  <c:v>4</c:v>
                </c:pt>
                <c:pt idx="1">
                  <c:v>2</c:v>
                </c:pt>
                <c:pt idx="2">
                  <c:v>2</c:v>
                </c:pt>
                <c:pt idx="3">
                  <c:v>4</c:v>
                </c:pt>
              </c:numCache>
            </c:numRef>
          </c:val>
          <c:extLst>
            <c:ext xmlns:c16="http://schemas.microsoft.com/office/drawing/2014/chart" uri="{C3380CC4-5D6E-409C-BE32-E72D297353CC}">
              <c16:uniqueId val="{00000003-3DA2-408F-B75F-7E84B5F5C760}"/>
            </c:ext>
          </c:extLst>
        </c:ser>
        <c:ser>
          <c:idx val="1"/>
          <c:order val="1"/>
          <c:tx>
            <c:strRef>
              <c:f>'Skill Analysis'!$C$3</c:f>
              <c:strCache>
                <c:ptCount val="1"/>
                <c:pt idx="0">
                  <c:v>Sum of Actual Hours</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'Skill Analysis'!$A$4:$A$8</c:f>
              <c:strCache>
                <c:ptCount val="4"/>
                <c:pt idx="0">
                  <c:v>Excel</c:v>
                </c:pt>
                <c:pt idx="1">
                  <c:v>Power BI</c:v>
                </c:pt>
                <c:pt idx="2">
                  <c:v>Python</c:v>
                </c:pt>
                <c:pt idx="3">
                  <c:v>SQL</c:v>
                </c:pt>
              </c:strCache>
            </c:strRef>
          </c:cat>
          <c:val>
            <c:numRef>
              <c:f>'Skill Analysis'!$C$4:$C$8</c:f>
              <c:numCache>
                <c:formatCode>General</c:formatCode>
                <c:ptCount val="4"/>
                <c:pt idx="0">
                  <c:v>4</c:v>
                </c:pt>
                <c:pt idx="1">
                  <c:v>2</c:v>
                </c:pt>
                <c:pt idx="2">
                  <c:v>1</c:v>
                </c:pt>
                <c:pt idx="3">
                  <c:v>1.5</c:v>
                </c:pt>
              </c:numCache>
            </c:numRef>
          </c:val>
          <c:extLst>
            <c:ext xmlns:c16="http://schemas.microsoft.com/office/drawing/2014/chart" uri="{C3380CC4-5D6E-409C-BE32-E72D297353CC}">
              <c16:uniqueId val="{00000005-3DA2-408F-B75F-7E84B5F5C760}"/>
            </c:ext>
          </c:extLst>
        </c:ser>
        <c:dLbls>
          <c:showLegendKey val="0"/>
          <c:showVal val="0"/>
          <c:showCatName val="0"/>
          <c:showSerName val="0"/>
          <c:showPercent val="0"/>
          <c:showBubbleSize val="0"/>
        </c:dLbls>
        <c:gapWidth val="115"/>
        <c:overlap val="-20"/>
        <c:axId val="1812810224"/>
        <c:axId val="1812806864"/>
      </c:barChart>
      <c:catAx>
        <c:axId val="18128102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806864"/>
        <c:crosses val="autoZero"/>
        <c:auto val="1"/>
        <c:lblAlgn val="ctr"/>
        <c:lblOffset val="100"/>
        <c:noMultiLvlLbl val="0"/>
      </c:catAx>
      <c:valAx>
        <c:axId val="1812806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8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Skill Development Progress Tracker.xlsx]Skill Analysis!PivotTable5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Skill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Analysis'!$B$16:$B$17</c:f>
              <c:strCache>
                <c:ptCount val="1"/>
                <c:pt idx="0">
                  <c:v>Completed</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'Skill Analysis'!$A$18:$A$22</c:f>
              <c:strCache>
                <c:ptCount val="4"/>
                <c:pt idx="0">
                  <c:v>Excel</c:v>
                </c:pt>
                <c:pt idx="1">
                  <c:v>Power BI</c:v>
                </c:pt>
                <c:pt idx="2">
                  <c:v>Python</c:v>
                </c:pt>
                <c:pt idx="3">
                  <c:v>SQL</c:v>
                </c:pt>
              </c:strCache>
            </c:strRef>
          </c:cat>
          <c:val>
            <c:numRef>
              <c:f>'Skill Analysis'!$B$18:$B$22</c:f>
              <c:numCache>
                <c:formatCode>General</c:formatCode>
                <c:ptCount val="4"/>
                <c:pt idx="0">
                  <c:v>2</c:v>
                </c:pt>
                <c:pt idx="1">
                  <c:v>1</c:v>
                </c:pt>
              </c:numCache>
            </c:numRef>
          </c:val>
          <c:extLst>
            <c:ext xmlns:c16="http://schemas.microsoft.com/office/drawing/2014/chart" uri="{C3380CC4-5D6E-409C-BE32-E72D297353CC}">
              <c16:uniqueId val="{00000000-BD21-445D-9FBF-487E6176DF13}"/>
            </c:ext>
          </c:extLst>
        </c:ser>
        <c:ser>
          <c:idx val="1"/>
          <c:order val="1"/>
          <c:tx>
            <c:strRef>
              <c:f>'Skill Analysis'!$C$16:$C$17</c:f>
              <c:strCache>
                <c:ptCount val="1"/>
                <c:pt idx="0">
                  <c:v>In Progress</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'Skill Analysis'!$A$18:$A$22</c:f>
              <c:strCache>
                <c:ptCount val="4"/>
                <c:pt idx="0">
                  <c:v>Excel</c:v>
                </c:pt>
                <c:pt idx="1">
                  <c:v>Power BI</c:v>
                </c:pt>
                <c:pt idx="2">
                  <c:v>Python</c:v>
                </c:pt>
                <c:pt idx="3">
                  <c:v>SQL</c:v>
                </c:pt>
              </c:strCache>
            </c:strRef>
          </c:cat>
          <c:val>
            <c:numRef>
              <c:f>'Skill Analysis'!$C$18:$C$22</c:f>
              <c:numCache>
                <c:formatCode>General</c:formatCode>
                <c:ptCount val="4"/>
                <c:pt idx="2">
                  <c:v>1</c:v>
                </c:pt>
                <c:pt idx="3">
                  <c:v>1</c:v>
                </c:pt>
              </c:numCache>
            </c:numRef>
          </c:val>
          <c:extLst>
            <c:ext xmlns:c16="http://schemas.microsoft.com/office/drawing/2014/chart" uri="{C3380CC4-5D6E-409C-BE32-E72D297353CC}">
              <c16:uniqueId val="{00000009-9534-496F-9E58-1619B6DBD240}"/>
            </c:ext>
          </c:extLst>
        </c:ser>
        <c:ser>
          <c:idx val="2"/>
          <c:order val="2"/>
          <c:tx>
            <c:strRef>
              <c:f>'Skill Analysis'!$D$16:$D$17</c:f>
              <c:strCache>
                <c:ptCount val="1"/>
                <c:pt idx="0">
                  <c:v>Not Started</c:v>
                </c:pt>
              </c:strCache>
            </c:strRef>
          </c:tx>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'Skill Analysis'!$A$18:$A$22</c:f>
              <c:strCache>
                <c:ptCount val="4"/>
                <c:pt idx="0">
                  <c:v>Excel</c:v>
                </c:pt>
                <c:pt idx="1">
                  <c:v>Power BI</c:v>
                </c:pt>
                <c:pt idx="2">
                  <c:v>Python</c:v>
                </c:pt>
                <c:pt idx="3">
                  <c:v>SQL</c:v>
                </c:pt>
              </c:strCache>
            </c:strRef>
          </c:cat>
          <c:val>
            <c:numRef>
              <c:f>'Skill Analysis'!$D$18:$D$22</c:f>
              <c:numCache>
                <c:formatCode>General</c:formatCode>
                <c:ptCount val="4"/>
                <c:pt idx="3">
                  <c:v>1</c:v>
                </c:pt>
              </c:numCache>
            </c:numRef>
          </c:val>
          <c:extLst>
            <c:ext xmlns:c16="http://schemas.microsoft.com/office/drawing/2014/chart" uri="{C3380CC4-5D6E-409C-BE32-E72D297353CC}">
              <c16:uniqueId val="{0000000A-9534-496F-9E58-1619B6DBD240}"/>
            </c:ext>
          </c:extLst>
        </c:ser>
        <c:dLbls>
          <c:showLegendKey val="0"/>
          <c:showVal val="0"/>
          <c:showCatName val="0"/>
          <c:showSerName val="0"/>
          <c:showPercent val="0"/>
          <c:showBubbleSize val="0"/>
        </c:dLbls>
        <c:gapWidth val="115"/>
        <c:overlap val="-20"/>
        <c:axId val="1812810224"/>
        <c:axId val="1812806864"/>
      </c:barChart>
      <c:catAx>
        <c:axId val="18128102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806864"/>
        <c:crosses val="autoZero"/>
        <c:auto val="1"/>
        <c:lblAlgn val="ctr"/>
        <c:lblOffset val="100"/>
        <c:noMultiLvlLbl val="0"/>
      </c:catAx>
      <c:valAx>
        <c:axId val="18128068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8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Skill Development Progress Tracker.xlsx]Skill Analysis!PivotTable4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Task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5"/>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7"/>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8"/>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s>
    <c:plotArea>
      <c:layout/>
      <c:pieChart>
        <c:varyColors val="1"/>
        <c:ser>
          <c:idx val="0"/>
          <c:order val="0"/>
          <c:tx>
            <c:strRef>
              <c:f>'Skill Analysis'!$B$10</c:f>
              <c:strCache>
                <c:ptCount val="1"/>
                <c:pt idx="0">
                  <c:v>Total</c:v>
                </c:pt>
              </c:strCache>
            </c:strRef>
          </c:tx>
          <c:dPt>
            <c:idx val="0"/>
            <c:bubble3D val="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1-E98E-4D9A-837A-7903A7FDBFC0}"/>
              </c:ext>
            </c:extLst>
          </c:dPt>
          <c:dPt>
            <c:idx val="1"/>
            <c:bubble3D val="0"/>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3-E98E-4D9A-837A-7903A7FDBFC0}"/>
              </c:ext>
            </c:extLst>
          </c:dPt>
          <c:dPt>
            <c:idx val="2"/>
            <c:bubble3D val="0"/>
            <c:spPr>
              <a:gradFill rotWithShape="1">
                <a:gsLst>
                  <a:gs pos="0">
                    <a:schemeClr val="accent3">
                      <a:tint val="100000"/>
                      <a:shade val="85000"/>
                      <a:satMod val="100000"/>
                      <a:lumMod val="100000"/>
                    </a:schemeClr>
                  </a:gs>
                  <a:gs pos="100000">
                    <a:schemeClr val="accent3">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extLst>
              <c:ext xmlns:c16="http://schemas.microsoft.com/office/drawing/2014/chart" uri="{C3380CC4-5D6E-409C-BE32-E72D297353CC}">
                <c16:uniqueId val="{00000005-E98E-4D9A-837A-7903A7FDBFC0}"/>
              </c:ext>
            </c:extLst>
          </c:dPt>
          <c:cat>
            <c:strRef>
              <c:f>'Skill Analysis'!$A$11:$A$14</c:f>
              <c:strCache>
                <c:ptCount val="3"/>
                <c:pt idx="0">
                  <c:v>Completed</c:v>
                </c:pt>
                <c:pt idx="1">
                  <c:v>In Progress</c:v>
                </c:pt>
                <c:pt idx="2">
                  <c:v>Not Started</c:v>
                </c:pt>
              </c:strCache>
            </c:strRef>
          </c:cat>
          <c:val>
            <c:numRef>
              <c:f>'Skill Analysis'!$B$11:$B$14</c:f>
              <c:numCache>
                <c:formatCode>General</c:formatCode>
                <c:ptCount val="3"/>
                <c:pt idx="0">
                  <c:v>3</c:v>
                </c:pt>
                <c:pt idx="1">
                  <c:v>2</c:v>
                </c:pt>
                <c:pt idx="2">
                  <c:v>1</c:v>
                </c:pt>
              </c:numCache>
            </c:numRef>
          </c:val>
          <c:extLst>
            <c:ext xmlns:c16="http://schemas.microsoft.com/office/drawing/2014/chart" uri="{C3380CC4-5D6E-409C-BE32-E72D297353CC}">
              <c16:uniqueId val="{00000006-E98E-4D9A-837A-7903A7FDBF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Skill Development Progress Tracker.xlsx]Skill Analysis!PivotTable1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Progress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'Skill Analysis'!$B$24</c:f>
              <c:strCache>
                <c:ptCount val="1"/>
                <c:pt idx="0">
                  <c:v>Total</c:v>
                </c:pt>
              </c:strCache>
            </c:strRef>
          </c:tx>
          <c:spPr>
            <a:ln w="34925" cap="rnd">
              <a:solidFill>
                <a:schemeClr val="accent1"/>
              </a:solidFill>
              <a:round/>
            </a:ln>
            <a:effectLst>
              <a:outerShdw blurRad="76200" dist="25400" dir="5400000" algn="ctr" rotWithShape="0">
                <a:srgbClr val="000000">
                  <a:alpha val="60000"/>
                </a:srgbClr>
              </a:outerShdw>
            </a:effectLst>
          </c:spPr>
          <c:marker>
            <c:symbol val="circle"/>
            <c:size val="6"/>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cat>
            <c:strRef>
              <c:f>'Skill Analysis'!$A$25:$A$31</c:f>
              <c:strCache>
                <c:ptCount val="6"/>
                <c:pt idx="0">
                  <c:v>17-Aug</c:v>
                </c:pt>
                <c:pt idx="1">
                  <c:v>18-Aug</c:v>
                </c:pt>
                <c:pt idx="2">
                  <c:v>19-Aug</c:v>
                </c:pt>
                <c:pt idx="3">
                  <c:v>20-Aug</c:v>
                </c:pt>
                <c:pt idx="4">
                  <c:v>21-Aug</c:v>
                </c:pt>
                <c:pt idx="5">
                  <c:v>22-Aug</c:v>
                </c:pt>
              </c:strCache>
            </c:strRef>
          </c:cat>
          <c:val>
            <c:numRef>
              <c:f>'Skill Analysis'!$B$25:$B$31</c:f>
              <c:numCache>
                <c:formatCode>0%</c:formatCode>
                <c:ptCount val="6"/>
                <c:pt idx="0">
                  <c:v>1</c:v>
                </c:pt>
                <c:pt idx="1">
                  <c:v>0.5</c:v>
                </c:pt>
                <c:pt idx="2">
                  <c:v>1</c:v>
                </c:pt>
                <c:pt idx="3">
                  <c:v>0.5</c:v>
                </c:pt>
                <c:pt idx="4">
                  <c:v>1</c:v>
                </c:pt>
                <c:pt idx="5">
                  <c:v>0</c:v>
                </c:pt>
              </c:numCache>
            </c:numRef>
          </c:val>
          <c:smooth val="0"/>
          <c:extLst>
            <c:ext xmlns:c16="http://schemas.microsoft.com/office/drawing/2014/chart" uri="{C3380CC4-5D6E-409C-BE32-E72D297353CC}">
              <c16:uniqueId val="{00000000-608F-4F2A-859D-ED370C9759F9}"/>
            </c:ext>
          </c:extLst>
        </c:ser>
        <c:dLbls>
          <c:showLegendKey val="0"/>
          <c:showVal val="0"/>
          <c:showCatName val="0"/>
          <c:showSerName val="0"/>
          <c:showPercent val="0"/>
          <c:showBubbleSize val="0"/>
        </c:dLbls>
        <c:marker val="1"/>
        <c:smooth val="0"/>
        <c:axId val="147463552"/>
        <c:axId val="147464032"/>
      </c:lineChart>
      <c:catAx>
        <c:axId val="147463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64032"/>
        <c:crosses val="autoZero"/>
        <c:auto val="1"/>
        <c:lblAlgn val="ctr"/>
        <c:lblOffset val="100"/>
        <c:noMultiLvlLbl val="0"/>
      </c:catAx>
      <c:valAx>
        <c:axId val="14746403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46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xdr:colOff>
      <xdr:row>7</xdr:row>
      <xdr:rowOff>142875</xdr:rowOff>
    </xdr:from>
    <xdr:to>
      <xdr:col>5</xdr:col>
      <xdr:colOff>676276</xdr:colOff>
      <xdr:row>30</xdr:row>
      <xdr:rowOff>95250</xdr:rowOff>
    </xdr:to>
    <xdr:graphicFrame macro="">
      <xdr:nvGraphicFramePr>
        <xdr:cNvPr id="3" name="Chart 2">
          <a:extLst>
            <a:ext uri="{FF2B5EF4-FFF2-40B4-BE49-F238E27FC236}">
              <a16:creationId xmlns:a16="http://schemas.microsoft.com/office/drawing/2014/main" id="{936A4EB3-99A2-435C-92F5-B8A7E75B3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516467</xdr:colOff>
      <xdr:row>20</xdr:row>
      <xdr:rowOff>47625</xdr:rowOff>
    </xdr:from>
    <xdr:to>
      <xdr:col>21</xdr:col>
      <xdr:colOff>238125</xdr:colOff>
      <xdr:row>30</xdr:row>
      <xdr:rowOff>57150</xdr:rowOff>
    </xdr:to>
    <xdr:graphicFrame macro="">
      <xdr:nvGraphicFramePr>
        <xdr:cNvPr id="4" name="Chart 3">
          <a:extLst>
            <a:ext uri="{FF2B5EF4-FFF2-40B4-BE49-F238E27FC236}">
              <a16:creationId xmlns:a16="http://schemas.microsoft.com/office/drawing/2014/main" id="{513BD975-C422-434B-BA9F-AFF505D74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123825</xdr:colOff>
      <xdr:row>7</xdr:row>
      <xdr:rowOff>152400</xdr:rowOff>
    </xdr:from>
    <xdr:to>
      <xdr:col>12</xdr:col>
      <xdr:colOff>361951</xdr:colOff>
      <xdr:row>22</xdr:row>
      <xdr:rowOff>114300</xdr:rowOff>
    </xdr:to>
    <xdr:graphicFrame macro="">
      <xdr:nvGraphicFramePr>
        <xdr:cNvPr id="5" name="Chart 4">
          <a:extLst>
            <a:ext uri="{FF2B5EF4-FFF2-40B4-BE49-F238E27FC236}">
              <a16:creationId xmlns:a16="http://schemas.microsoft.com/office/drawing/2014/main" id="{D4DEC6CF-0EB0-4D6E-8AB0-2B5737D19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104774</xdr:colOff>
      <xdr:row>22</xdr:row>
      <xdr:rowOff>161924</xdr:rowOff>
    </xdr:from>
    <xdr:to>
      <xdr:col>9</xdr:col>
      <xdr:colOff>295275</xdr:colOff>
      <xdr:row>30</xdr:row>
      <xdr:rowOff>114299</xdr:rowOff>
    </xdr:to>
    <mc:AlternateContent xmlns:mc="http://schemas.openxmlformats.org/markup-compatibility/2006">
      <mc:Choice xmlns:a14="http://schemas.microsoft.com/office/drawing/2010/main" Requires="a14">
        <xdr:graphicFrame macro="">
          <xdr:nvGraphicFramePr>
            <xdr:cNvPr id="7" name="Skill">
              <a:extLst>
                <a:ext uri="{FF2B5EF4-FFF2-40B4-BE49-F238E27FC236}">
                  <a16:creationId xmlns:a16="http://schemas.microsoft.com/office/drawing/2014/main" id="{B423A73B-71B0-490F-AF80-3580A47C882E}"/>
                </a:ext>
              </a:extLst>
            </xdr:cNvPr>
            <xdr:cNvGraphicFramePr/>
          </xdr:nvGraphicFramePr>
          <xdr:xfrm>
            <a:off x="0" y="0"/>
            <a:ext cx="0" cy="0"/>
          </xdr:xfrm>
          <a:graphic>
            <a:graphicData uri="http://schemas.microsoft.com/office/drawing/2010/slicer">
              <sle:slicer xmlns:sle="http://schemas.microsoft.com/office/drawing/2010/slicer" name="Skill"/>
            </a:graphicData>
          </a:graphic>
        </xdr:graphicFrame>
      </mc:Choice>
      <mc:Fallback>
        <xdr:sp macro="" textlink="">
          <xdr:nvSpPr>
            <xdr:cNvPr id="0" name=""/>
            <xdr:cNvSpPr>
              <a:spLocks noTextEdit="1"/>
            </xdr:cNvSpPr>
          </xdr:nvSpPr>
          <xdr:spPr>
            <a:xfrm>
              <a:off x="4219574" y="4190999"/>
              <a:ext cx="2247901"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380999</xdr:colOff>
      <xdr:row>22</xdr:row>
      <xdr:rowOff>152400</xdr:rowOff>
    </xdr:from>
    <xdr:to>
      <xdr:col>12</xdr:col>
      <xdr:colOff>419101</xdr:colOff>
      <xdr:row>30</xdr:row>
      <xdr:rowOff>142875</xdr:rowOff>
    </xdr:to>
    <mc:AlternateContent xmlns:mc="http://schemas.openxmlformats.org/markup-compatibility/2006">
      <mc:Choice xmlns:a14="http://schemas.microsoft.com/office/drawing/2010/main" Requires="a14">
        <xdr:graphicFrame macro="">
          <xdr:nvGraphicFramePr>
            <xdr:cNvPr id="8" name="Status">
              <a:extLst>
                <a:ext uri="{FF2B5EF4-FFF2-40B4-BE49-F238E27FC236}">
                  <a16:creationId xmlns:a16="http://schemas.microsoft.com/office/drawing/2014/main" id="{709FF0CB-F8B1-4747-84B6-6F0DAA706AE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6553199" y="4181475"/>
              <a:ext cx="2095502" cy="1438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514350</xdr:colOff>
      <xdr:row>7</xdr:row>
      <xdr:rowOff>123827</xdr:rowOff>
    </xdr:from>
    <xdr:to>
      <xdr:col>21</xdr:col>
      <xdr:colOff>257175</xdr:colOff>
      <xdr:row>19</xdr:row>
      <xdr:rowOff>152401</xdr:rowOff>
    </xdr:to>
    <xdr:graphicFrame macro="">
      <xdr:nvGraphicFramePr>
        <xdr:cNvPr id="9" name="Chart 8">
          <a:extLst>
            <a:ext uri="{FF2B5EF4-FFF2-40B4-BE49-F238E27FC236}">
              <a16:creationId xmlns:a16="http://schemas.microsoft.com/office/drawing/2014/main" id="{2EAC552E-5BC5-4837-986F-A42A27C27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133350</xdr:colOff>
      <xdr:row>0</xdr:row>
      <xdr:rowOff>85725</xdr:rowOff>
    </xdr:from>
    <xdr:to>
      <xdr:col>21</xdr:col>
      <xdr:colOff>257175</xdr:colOff>
      <xdr:row>7</xdr:row>
      <xdr:rowOff>9525</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D9009914-BEE8-4683-A1AE-268825F1BD4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791950" y="85725"/>
              <a:ext cx="2867025" cy="12382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ght Tech" refreshedDate="46272.437182638889" createdVersion="8" refreshedVersion="8" minRefreshableVersion="3" recordCount="6" xr:uid="{8A1FC541-D54C-46A1-964E-CFD0BF8698F7}">
  <cacheSource type="worksheet">
    <worksheetSource name="ProgressData"/>
  </cacheSource>
  <cacheFields count="9">
    <cacheField name="Date" numFmtId="16">
      <sharedItems containsSemiMixedTypes="0" containsNonDate="0" containsDate="1" containsString="0" minDate="2026-08-17T00:00:00" maxDate="2026-08-23T00:00:00" count="6">
        <d v="2026-08-17T00:00:00"/>
        <d v="2026-08-18T00:00:00"/>
        <d v="2026-08-19T00:00:00"/>
        <d v="2026-08-20T00:00:00"/>
        <d v="2026-08-21T00:00:00"/>
        <d v="2026-08-22T00:00:00"/>
      </sharedItems>
    </cacheField>
    <cacheField name="Skill" numFmtId="0">
      <sharedItems count="4">
        <s v="Excel"/>
        <s v="SQL"/>
        <s v="Power BI"/>
        <s v="Python"/>
      </sharedItems>
    </cacheField>
    <cacheField name="Topic" numFmtId="0">
      <sharedItems/>
    </cacheField>
    <cacheField name="Planned Hours" numFmtId="0">
      <sharedItems containsSemiMixedTypes="0" containsString="0" containsNumber="1" containsInteger="1" minValue="2" maxValue="2"/>
    </cacheField>
    <cacheField name="Actual Hours" numFmtId="0">
      <sharedItems containsSemiMixedTypes="0" containsString="0" containsNumber="1" minValue="0" maxValue="2"/>
    </cacheField>
    <cacheField name="Status" numFmtId="0">
      <sharedItems count="3">
        <s v="Completed"/>
        <s v="In Progress"/>
        <s v="Not Started"/>
      </sharedItems>
    </cacheField>
    <cacheField name="Score %" numFmtId="9">
      <sharedItems containsSemiMixedTypes="0" containsString="0" containsNumber="1" minValue="0" maxValue="0.95"/>
    </cacheField>
    <cacheField name="Progress " numFmtId="9">
      <sharedItems containsSemiMixedTypes="0" containsString="0" containsNumber="1" minValue="0" maxValue="1"/>
    </cacheField>
    <cacheField name="Hour Variance" numFmtId="0">
      <sharedItems containsSemiMixedTypes="0" containsString="0" containsNumber="1" minValue="-2" maxValue="0"/>
    </cacheField>
  </cacheFields>
  <extLst>
    <ext xmlns:x14="http://schemas.microsoft.com/office/spreadsheetml/2009/9/main" uri="{725AE2AE-9491-48be-B2B4-4EB974FC3084}">
      <x14:pivotCacheDefinition pivotCacheId="1497126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s v="Pivot Tables"/>
    <n v="2"/>
    <n v="2"/>
    <x v="0"/>
    <n v="0.9"/>
    <n v="1"/>
    <n v="0"/>
  </r>
  <r>
    <x v="1"/>
    <x v="1"/>
    <s v="SELECT &amp; WHERE"/>
    <n v="2"/>
    <n v="1.5"/>
    <x v="1"/>
    <n v="0.75"/>
    <n v="0.5"/>
    <n v="-0.5"/>
  </r>
  <r>
    <x v="2"/>
    <x v="2"/>
    <s v="Data Cleaning"/>
    <n v="2"/>
    <n v="2"/>
    <x v="0"/>
    <n v="0.85"/>
    <n v="1"/>
    <n v="0"/>
  </r>
  <r>
    <x v="3"/>
    <x v="3"/>
    <s v="Variables"/>
    <n v="2"/>
    <n v="1"/>
    <x v="1"/>
    <n v="0.7"/>
    <n v="0.5"/>
    <n v="-1"/>
  </r>
  <r>
    <x v="4"/>
    <x v="0"/>
    <s v="XLOOKUP"/>
    <n v="2"/>
    <n v="2"/>
    <x v="0"/>
    <n v="0.95"/>
    <n v="1"/>
    <n v="0"/>
  </r>
  <r>
    <x v="5"/>
    <x v="1"/>
    <s v="GROUP BY"/>
    <n v="2"/>
    <n v="0"/>
    <x v="2"/>
    <n v="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CE9A6-6328-4514-9883-0D7F3BF3371C}"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24:B31" firstHeaderRow="1" firstDataRow="1" firstDataCol="1"/>
  <pivotFields count="9">
    <pivotField axis="axisRow" numFmtId="16" showAll="0">
      <items count="7">
        <item x="0"/>
        <item x="1"/>
        <item x="2"/>
        <item x="3"/>
        <item x="4"/>
        <item x="5"/>
        <item t="default"/>
      </items>
    </pivotField>
    <pivotField showAll="0">
      <items count="5">
        <item x="0"/>
        <item x="2"/>
        <item x="3"/>
        <item x="1"/>
        <item t="default"/>
      </items>
    </pivotField>
    <pivotField showAll="0"/>
    <pivotField showAll="0"/>
    <pivotField showAll="0"/>
    <pivotField showAll="0">
      <items count="4">
        <item x="0"/>
        <item x="1"/>
        <item x="2"/>
        <item t="default"/>
      </items>
    </pivotField>
    <pivotField numFmtId="9" showAll="0"/>
    <pivotField dataField="1" showAll="0"/>
    <pivotField showAll="0"/>
  </pivotFields>
  <rowFields count="1">
    <field x="0"/>
  </rowFields>
  <rowItems count="7">
    <i>
      <x/>
    </i>
    <i>
      <x v="1"/>
    </i>
    <i>
      <x v="2"/>
    </i>
    <i>
      <x v="3"/>
    </i>
    <i>
      <x v="4"/>
    </i>
    <i>
      <x v="5"/>
    </i>
    <i t="grand">
      <x/>
    </i>
  </rowItems>
  <colItems count="1">
    <i/>
  </colItems>
  <dataFields count="1">
    <dataField name="Average of Progress " fld="7" subtotal="average" baseField="0" baseItem="3" numFmtId="9"/>
  </dataFields>
  <formats count="1">
    <format dxfId="3">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5" nam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ABDEC3-2877-40EC-9229-9940C2D350C5}"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16:E22" firstHeaderRow="1" firstDataRow="2" firstDataCol="1"/>
  <pivotFields count="9">
    <pivotField numFmtId="16" showAll="0">
      <items count="7">
        <item x="0"/>
        <item x="1"/>
        <item x="2"/>
        <item x="3"/>
        <item x="4"/>
        <item x="5"/>
        <item t="default"/>
      </items>
    </pivotField>
    <pivotField axis="axisRow" showAll="0">
      <items count="5">
        <item x="0"/>
        <item x="2"/>
        <item x="3"/>
        <item x="1"/>
        <item t="default"/>
      </items>
    </pivotField>
    <pivotField dataField="1" showAll="0"/>
    <pivotField showAll="0"/>
    <pivotField showAll="0"/>
    <pivotField axis="axisCol" showAll="0">
      <items count="4">
        <item x="0"/>
        <item x="1"/>
        <item x="2"/>
        <item t="default"/>
      </items>
    </pivotField>
    <pivotField numFmtId="9" showAll="0"/>
    <pivotField showAll="0"/>
    <pivotField showAll="0"/>
  </pivotFields>
  <rowFields count="1">
    <field x="1"/>
  </rowFields>
  <rowItems count="5">
    <i>
      <x/>
    </i>
    <i>
      <x v="1"/>
    </i>
    <i>
      <x v="2"/>
    </i>
    <i>
      <x v="3"/>
    </i>
    <i t="grand">
      <x/>
    </i>
  </rowItems>
  <colFields count="1">
    <field x="5"/>
  </colFields>
  <colItems count="4">
    <i>
      <x/>
    </i>
    <i>
      <x v="1"/>
    </i>
    <i>
      <x v="2"/>
    </i>
    <i t="grand">
      <x/>
    </i>
  </colItems>
  <dataFields count="1">
    <dataField name="Count of Topic" fld="2" subtotal="count" baseField="1" baseItem="2"/>
  </dataFields>
  <chartFormats count="4">
    <chartFormat chart="7" format="6" series="1">
      <pivotArea type="data" outline="0" fieldPosition="0">
        <references count="2">
          <reference field="4294967294" count="1" selected="0">
            <x v="0"/>
          </reference>
          <reference field="5" count="1" selected="0">
            <x v="0"/>
          </reference>
        </references>
      </pivotArea>
    </chartFormat>
    <chartFormat chart="7" format="7" series="1">
      <pivotArea type="data" outline="0" fieldPosition="0">
        <references count="2">
          <reference field="4294967294" count="1" selected="0">
            <x v="0"/>
          </reference>
          <reference field="5" count="1" selected="0">
            <x v="1"/>
          </reference>
        </references>
      </pivotArea>
    </chartFormat>
    <chartFormat chart="7" format="8" series="1">
      <pivotArea type="data" outline="0" fieldPosition="0">
        <references count="2">
          <reference field="4294967294" count="1" selected="0">
            <x v="0"/>
          </reference>
          <reference field="5" count="1" selected="0">
            <x v="2"/>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35" nam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83651-088C-4C0C-BE05-2EBBAC94922C}"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10:B14" firstHeaderRow="1" firstDataRow="1" firstDataCol="1"/>
  <pivotFields count="9">
    <pivotField numFmtId="16" showAll="0">
      <items count="7">
        <item x="0"/>
        <item x="1"/>
        <item x="2"/>
        <item x="3"/>
        <item x="4"/>
        <item x="5"/>
        <item t="default"/>
      </items>
    </pivotField>
    <pivotField showAll="0">
      <items count="5">
        <item x="0"/>
        <item x="2"/>
        <item x="3"/>
        <item x="1"/>
        <item t="default"/>
      </items>
    </pivotField>
    <pivotField dataField="1" showAll="0"/>
    <pivotField showAll="0"/>
    <pivotField showAll="0"/>
    <pivotField axis="axisRow" showAll="0">
      <items count="4">
        <item x="0"/>
        <item x="1"/>
        <item x="2"/>
        <item t="default"/>
      </items>
    </pivotField>
    <pivotField numFmtId="9" showAll="0"/>
    <pivotField showAll="0"/>
    <pivotField showAll="0"/>
  </pivotFields>
  <rowFields count="1">
    <field x="5"/>
  </rowFields>
  <rowItems count="4">
    <i>
      <x/>
    </i>
    <i>
      <x v="1"/>
    </i>
    <i>
      <x v="2"/>
    </i>
    <i t="grand">
      <x/>
    </i>
  </rowItems>
  <colItems count="1">
    <i/>
  </colItems>
  <dataFields count="1">
    <dataField name="Count of Topic" fld="2" subtotal="count" baseField="0" baseItem="0"/>
  </dataFields>
  <chartFormats count="12">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5" count="1" selected="0">
            <x v="0"/>
          </reference>
        </references>
      </pivotArea>
    </chartFormat>
    <chartFormat chart="18" format="3">
      <pivotArea type="data" outline="0" fieldPosition="0">
        <references count="2">
          <reference field="4294967294" count="1" selected="0">
            <x v="0"/>
          </reference>
          <reference field="5" count="1" selected="0">
            <x v="1"/>
          </reference>
        </references>
      </pivotArea>
    </chartFormat>
    <chartFormat chart="18" format="4">
      <pivotArea type="data" outline="0" fieldPosition="0">
        <references count="2">
          <reference field="4294967294" count="1" selected="0">
            <x v="0"/>
          </reference>
          <reference field="5"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5" count="1" selected="0">
            <x v="0"/>
          </reference>
        </references>
      </pivotArea>
    </chartFormat>
    <chartFormat chart="19" format="7">
      <pivotArea type="data" outline="0" fieldPosition="0">
        <references count="2">
          <reference field="4294967294" count="1" selected="0">
            <x v="0"/>
          </reference>
          <reference field="5" count="1" selected="0">
            <x v="1"/>
          </reference>
        </references>
      </pivotArea>
    </chartFormat>
    <chartFormat chart="19" format="8">
      <pivotArea type="data" outline="0" fieldPosition="0">
        <references count="2">
          <reference field="4294967294" count="1" selected="0">
            <x v="0"/>
          </reference>
          <reference field="5"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5" count="1" selected="0">
            <x v="0"/>
          </reference>
        </references>
      </pivotArea>
    </chartFormat>
    <chartFormat chart="20" format="7">
      <pivotArea type="data" outline="0" fieldPosition="0">
        <references count="2">
          <reference field="4294967294" count="1" selected="0">
            <x v="0"/>
          </reference>
          <reference field="5" count="1" selected="0">
            <x v="1"/>
          </reference>
        </references>
      </pivotArea>
    </chartFormat>
    <chartFormat chart="20"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0" type="dateBetween" evalOrder="-1" id="35" nam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58E8E0-53D0-4617-8097-B5771B53C804}"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8" firstHeaderRow="0" firstDataRow="1" firstDataCol="1"/>
  <pivotFields count="9">
    <pivotField numFmtId="16" showAll="0">
      <items count="7">
        <item x="0"/>
        <item x="1"/>
        <item x="2"/>
        <item x="3"/>
        <item x="4"/>
        <item x="5"/>
        <item t="default"/>
      </items>
    </pivotField>
    <pivotField axis="axisRow" showAll="0">
      <items count="5">
        <item x="0"/>
        <item x="2"/>
        <item x="3"/>
        <item x="1"/>
        <item t="default"/>
      </items>
    </pivotField>
    <pivotField showAll="0"/>
    <pivotField dataField="1" showAll="0"/>
    <pivotField dataField="1" showAll="0"/>
    <pivotField showAll="0">
      <items count="4">
        <item x="0"/>
        <item x="1"/>
        <item x="2"/>
        <item t="default"/>
      </items>
    </pivotField>
    <pivotField numFmtId="9" showAll="0"/>
    <pivotField showAll="0"/>
    <pivotField showAll="0"/>
  </pivotFields>
  <rowFields count="1">
    <field x="1"/>
  </rowFields>
  <rowItems count="5">
    <i>
      <x/>
    </i>
    <i>
      <x v="1"/>
    </i>
    <i>
      <x v="2"/>
    </i>
    <i>
      <x v="3"/>
    </i>
    <i t="grand">
      <x/>
    </i>
  </rowItems>
  <colFields count="1">
    <field x="-2"/>
  </colFields>
  <colItems count="2">
    <i>
      <x/>
    </i>
    <i i="1">
      <x v="1"/>
    </i>
  </colItems>
  <dataFields count="2">
    <dataField name="Sum of Planned Hours" fld="3" baseField="0" baseItem="0"/>
    <dataField name="Sum of Actual Hours" fld="4" baseField="0" baseItem="0"/>
  </dataFields>
  <chartFormats count="2">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35" name="Date">
      <autoFilter ref="A1">
        <filterColumn colId="0">
          <customFilters and="1">
            <customFilter operator="greaterThanOrEqual" val="46235"/>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 xr10:uid="{05C291FE-FADD-4ADA-983C-30C3D9C6D828}" sourceName="Skill">
  <pivotTables>
    <pivotTable tabId="8" name="PivotTable3"/>
    <pivotTable tabId="8" name="PivotTable4"/>
    <pivotTable tabId="8" name="PivotTable5"/>
    <pivotTable tabId="8" name="PivotTable1"/>
  </pivotTables>
  <data>
    <tabular pivotCacheId="149712627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6B078C-3CB3-4C79-AA5C-9E397D0896B0}" sourceName="Status">
  <pivotTables>
    <pivotTable tabId="8" name="PivotTable3"/>
    <pivotTable tabId="8" name="PivotTable1"/>
    <pivotTable tabId="8" name="PivotTable4"/>
    <pivotTable tabId="8" name="PivotTable5"/>
  </pivotTables>
  <data>
    <tabular pivotCacheId="149712627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ill" xr10:uid="{A8F23617-C77A-4C18-B4B6-572150A49C50}" cache="Slicer_Skill" caption="Skill" rowHeight="241300"/>
  <slicer name="Status" xr10:uid="{E619DAF7-60D1-445C-A84D-69B7382F3845}"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2B613-A7B7-4788-9199-6DBDCF1BE8A3}" name="ProgressData" displayName="ProgressData" ref="E3:M9" totalsRowShown="0" headerRowDxfId="16" dataDxfId="15">
  <autoFilter ref="E3:M9" xr:uid="{6562B613-A7B7-4788-9199-6DBDCF1BE8A3}"/>
  <tableColumns count="9">
    <tableColumn id="1" xr3:uid="{9B620448-EDDD-49E2-A8EE-9DC90EDB6655}" name="Date" dataDxfId="14"/>
    <tableColumn id="2" xr3:uid="{B1F95B7B-E21B-4820-8347-7A676FDAA0F1}" name="Skill" dataDxfId="13"/>
    <tableColumn id="3" xr3:uid="{49824963-87FE-4DD1-9284-40BCCBCC8A8E}" name="Topic" dataDxfId="12"/>
    <tableColumn id="4" xr3:uid="{E619844D-6718-47B5-A860-0C3C322BDC24}" name="Planned Hours" dataDxfId="11"/>
    <tableColumn id="5" xr3:uid="{AFF7A864-103A-432B-894B-24B904C1271C}" name="Actual Hours" dataDxfId="10"/>
    <tableColumn id="6" xr3:uid="{76DC876F-1279-493D-ADAF-B718EE7FE059}" name="Status" dataDxfId="9"/>
    <tableColumn id="7" xr3:uid="{1C1B9497-24D4-43B0-9673-4213B7D85569}" name="Score %" dataDxfId="8"/>
    <tableColumn id="8" xr3:uid="{16BBAD36-8EF7-4955-A7B6-6B102D52ADBF}" name="Progress " dataDxfId="4">
      <calculatedColumnFormula>IF(ProgressData[[#This Row],[Status]]="Completed",1,IF(ProgressData[[#This Row],[Status]]="In Progress",0.5,0))</calculatedColumnFormula>
    </tableColumn>
    <tableColumn id="9" xr3:uid="{638336D8-7635-4EE3-82CA-8901AE359F4D}" name="Hour Variance" dataDxfId="7">
      <calculatedColumnFormula>ProgressData[[#This Row],[Actual Hours]]-ProgressData[[#This Row],[Planned Hours]]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653889-35A4-42FF-AC40-BC2D7689C849}" name="Table2" displayName="Table2" ref="A3:I5" totalsRowShown="0">
  <autoFilter ref="A3:I5" xr:uid="{AE653889-35A4-42FF-AC40-BC2D7689C849}"/>
  <tableColumns count="9">
    <tableColumn id="1" xr3:uid="{3F124741-5557-444A-BC6C-206F74573E8D}" name="Date" dataDxfId="6"/>
    <tableColumn id="2" xr3:uid="{5477350C-9C64-4C6B-8AB1-BDECB0333F36}" name="Skill"/>
    <tableColumn id="3" xr3:uid="{B3A3B6C1-27DE-43B1-896C-20E4ACC0C292}" name="Topic"/>
    <tableColumn id="4" xr3:uid="{DD3C5F92-44DA-4F46-A453-0DCB8E5DD9F8}" name="Planned Hours"/>
    <tableColumn id="5" xr3:uid="{62BAEED9-1653-48B8-840A-0BEBC9F8C28F}" name="Actual Hours"/>
    <tableColumn id="6" xr3:uid="{3C893453-6FC7-4221-BEDD-B02900FC37AA}" name="Status"/>
    <tableColumn id="7" xr3:uid="{9818E02F-6778-4C38-A777-39C21F1B455B}" name="Score %"/>
    <tableColumn id="8" xr3:uid="{2C60E267-16F8-4FC7-8F47-BDE2F151ECB9}" name="Progress "/>
    <tableColumn id="9" xr3:uid="{EE667BDD-0089-468F-93A1-868313C74D06}" name="Hour Varia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BE075F-9AD2-4F41-9B46-BEF9DDEC358B}" name="Table3" displayName="Table3" ref="A3:I5" totalsRowShown="0">
  <autoFilter ref="A3:I5" xr:uid="{D5BE075F-9AD2-4F41-9B46-BEF9DDEC358B}"/>
  <tableColumns count="9">
    <tableColumn id="1" xr3:uid="{F759239B-13CF-4794-BDF2-1A376FAF22DD}" name="Date" dataDxfId="5"/>
    <tableColumn id="2" xr3:uid="{AF9D9394-33B6-4467-81E9-885B7C1AACE9}" name="Skill"/>
    <tableColumn id="3" xr3:uid="{A2D796A5-C8F1-4E9D-8D93-3A0FB8296410}" name="Topic"/>
    <tableColumn id="4" xr3:uid="{9EA473F0-2990-4372-8AB4-EF52A4153E74}" name="Planned Hours"/>
    <tableColumn id="5" xr3:uid="{E12C02BB-79C1-49A5-AC69-26D01563DBFB}" name="Actual Hours"/>
    <tableColumn id="6" xr3:uid="{813C16C8-8906-4163-987E-E1A1B5B7F61D}" name="Status"/>
    <tableColumn id="7" xr3:uid="{F2FBC5A3-6CA2-4BAA-B090-E7D99D690AEE}" name="Score %"/>
    <tableColumn id="8" xr3:uid="{5C7AAB80-438B-44C2-8B78-6FC202450630}" name="Progress "/>
    <tableColumn id="9" xr3:uid="{11A5FDB4-2D35-4B1D-89E2-F53C8937F558}" name="Hour Varianc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5EB108C-20C6-4E89-BBF1-0DDECCFB5D6B}" sourceName="Date">
  <pivotTables>
    <pivotTable tabId="8" name="PivotTable1"/>
    <pivotTable tabId="8" name="PivotTable3"/>
    <pivotTable tabId="8" name="PivotTable4"/>
    <pivotTable tabId="8" name="PivotTable5"/>
  </pivotTables>
  <state minimalRefreshVersion="6" lastRefreshVersion="6" pivotCacheId="1497126274" filterType="dateBetween">
    <selection startDate="2026-08-01T00:00:00" endDate="2026-08-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A3DADA5-74A3-467A-AB25-801BA3E0294A}" cache="NativeTimeline_Date" caption="Date" level="2" selectionLevel="2" scrollPosition="2026-06-2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72759-42BC-4E55-8A2F-C0DA2B9C7BA3}">
  <dimension ref="E3:M9"/>
  <sheetViews>
    <sheetView workbookViewId="0">
      <selection activeCell="L5" sqref="L4:L9"/>
    </sheetView>
  </sheetViews>
  <sheetFormatPr defaultRowHeight="14.25" x14ac:dyDescent="0.2"/>
  <cols>
    <col min="5" max="5" width="9.625" customWidth="1"/>
    <col min="6" max="6" width="9.25" customWidth="1"/>
    <col min="7" max="7" width="17.75" customWidth="1"/>
    <col min="8" max="8" width="13.875" customWidth="1"/>
    <col min="9" max="9" width="12" customWidth="1"/>
    <col min="10" max="10" width="17.75" customWidth="1"/>
    <col min="11" max="11" width="23.25" customWidth="1"/>
    <col min="12" max="12" width="15" customWidth="1"/>
    <col min="13" max="13" width="13.25" customWidth="1"/>
  </cols>
  <sheetData>
    <row r="3" spans="5:13" x14ac:dyDescent="0.2">
      <c r="E3" s="2" t="s">
        <v>0</v>
      </c>
      <c r="F3" s="2" t="s">
        <v>1</v>
      </c>
      <c r="G3" s="2" t="s">
        <v>2</v>
      </c>
      <c r="H3" s="2" t="s">
        <v>3</v>
      </c>
      <c r="I3" s="2" t="s">
        <v>4</v>
      </c>
      <c r="J3" s="2" t="s">
        <v>5</v>
      </c>
      <c r="K3" s="2" t="s">
        <v>6</v>
      </c>
      <c r="L3" s="2" t="s">
        <v>28</v>
      </c>
      <c r="M3" s="2" t="s">
        <v>24</v>
      </c>
    </row>
    <row r="4" spans="5:13" x14ac:dyDescent="0.2">
      <c r="E4" s="3">
        <v>46251</v>
      </c>
      <c r="F4" s="1" t="s">
        <v>7</v>
      </c>
      <c r="G4" s="1" t="s">
        <v>8</v>
      </c>
      <c r="H4" s="1">
        <v>2</v>
      </c>
      <c r="I4" s="1">
        <v>2</v>
      </c>
      <c r="J4" s="1" t="s">
        <v>9</v>
      </c>
      <c r="K4" s="4">
        <v>0.9</v>
      </c>
      <c r="L4" s="12">
        <f>IF(ProgressData[[#This Row],[Status]]="Completed",1,IF(ProgressData[[#This Row],[Status]]="In Progress",0.5,0))</f>
        <v>1</v>
      </c>
      <c r="M4" s="5">
        <f>ProgressData[[#This Row],[Actual Hours]]-ProgressData[[#This Row],[Planned Hours]]</f>
        <v>0</v>
      </c>
    </row>
    <row r="5" spans="5:13" x14ac:dyDescent="0.2">
      <c r="E5" s="3">
        <v>46252</v>
      </c>
      <c r="F5" s="1" t="s">
        <v>10</v>
      </c>
      <c r="G5" s="1" t="s">
        <v>11</v>
      </c>
      <c r="H5" s="1">
        <v>2</v>
      </c>
      <c r="I5" s="1">
        <v>1.5</v>
      </c>
      <c r="J5" s="1" t="s">
        <v>12</v>
      </c>
      <c r="K5" s="4">
        <v>0.75</v>
      </c>
      <c r="L5" s="12">
        <f>IF(ProgressData[[#This Row],[Status]]="Completed",1,IF(ProgressData[[#This Row],[Status]]="In Progress",0.5,0))</f>
        <v>0.5</v>
      </c>
      <c r="M5" s="5">
        <f>ProgressData[[#This Row],[Actual Hours]]-ProgressData[[#This Row],[Planned Hours]]</f>
        <v>-0.5</v>
      </c>
    </row>
    <row r="6" spans="5:13" x14ac:dyDescent="0.2">
      <c r="E6" s="3">
        <v>46253</v>
      </c>
      <c r="F6" s="1" t="s">
        <v>13</v>
      </c>
      <c r="G6" s="1" t="s">
        <v>14</v>
      </c>
      <c r="H6" s="1">
        <v>2</v>
      </c>
      <c r="I6" s="1">
        <v>2</v>
      </c>
      <c r="J6" s="1" t="s">
        <v>9</v>
      </c>
      <c r="K6" s="4">
        <v>0.85</v>
      </c>
      <c r="L6" s="12">
        <f>IF(ProgressData[[#This Row],[Status]]="Completed",1,IF(ProgressData[[#This Row],[Status]]="In Progress",0.5,0))</f>
        <v>1</v>
      </c>
      <c r="M6" s="5">
        <f>ProgressData[[#This Row],[Actual Hours]]-ProgressData[[#This Row],[Planned Hours]]</f>
        <v>0</v>
      </c>
    </row>
    <row r="7" spans="5:13" x14ac:dyDescent="0.2">
      <c r="E7" s="3">
        <v>46254</v>
      </c>
      <c r="F7" s="1" t="s">
        <v>15</v>
      </c>
      <c r="G7" s="1" t="s">
        <v>16</v>
      </c>
      <c r="H7" s="1">
        <v>2</v>
      </c>
      <c r="I7" s="1">
        <v>1</v>
      </c>
      <c r="J7" s="1" t="s">
        <v>12</v>
      </c>
      <c r="K7" s="4">
        <v>0.7</v>
      </c>
      <c r="L7" s="12">
        <f>IF(ProgressData[[#This Row],[Status]]="Completed",1,IF(ProgressData[[#This Row],[Status]]="In Progress",0.5,0))</f>
        <v>0.5</v>
      </c>
      <c r="M7" s="5">
        <f>ProgressData[[#This Row],[Actual Hours]]-ProgressData[[#This Row],[Planned Hours]]</f>
        <v>-1</v>
      </c>
    </row>
    <row r="8" spans="5:13" x14ac:dyDescent="0.2">
      <c r="E8" s="3">
        <v>46255</v>
      </c>
      <c r="F8" s="1" t="s">
        <v>7</v>
      </c>
      <c r="G8" s="1" t="s">
        <v>17</v>
      </c>
      <c r="H8" s="1">
        <v>2</v>
      </c>
      <c r="I8" s="1">
        <v>2</v>
      </c>
      <c r="J8" s="1" t="s">
        <v>9</v>
      </c>
      <c r="K8" s="4">
        <v>0.95</v>
      </c>
      <c r="L8" s="12">
        <f>IF(ProgressData[[#This Row],[Status]]="Completed",1,IF(ProgressData[[#This Row],[Status]]="In Progress",0.5,0))</f>
        <v>1</v>
      </c>
      <c r="M8" s="5">
        <f>ProgressData[[#This Row],[Actual Hours]]-ProgressData[[#This Row],[Planned Hours]]</f>
        <v>0</v>
      </c>
    </row>
    <row r="9" spans="5:13" x14ac:dyDescent="0.2">
      <c r="E9" s="3">
        <v>46256</v>
      </c>
      <c r="F9" s="1" t="s">
        <v>10</v>
      </c>
      <c r="G9" s="1" t="s">
        <v>18</v>
      </c>
      <c r="H9" s="1">
        <v>2</v>
      </c>
      <c r="I9" s="1">
        <v>0</v>
      </c>
      <c r="J9" s="1" t="s">
        <v>19</v>
      </c>
      <c r="K9" s="4">
        <v>0</v>
      </c>
      <c r="L9" s="12">
        <f>IF(ProgressData[[#This Row],[Status]]="Completed",1,IF(ProgressData[[#This Row],[Status]]="In Progress",0.5,0))</f>
        <v>0</v>
      </c>
      <c r="M9" s="5">
        <f>ProgressData[[#This Row],[Actual Hours]]-ProgressData[[#This Row],[Planned Hours]]</f>
        <v>-2</v>
      </c>
    </row>
  </sheetData>
  <dataConsolidate/>
  <conditionalFormatting sqref="J4:J9">
    <cfRule type="containsText" dxfId="2" priority="1" operator="containsText" text="Not Started">
      <formula>NOT(ISERROR(SEARCH("Not Started",J4)))</formula>
    </cfRule>
    <cfRule type="containsText" dxfId="1" priority="2" operator="containsText" text="In Progress">
      <formula>NOT(ISERROR(SEARCH("In Progress",J4)))</formula>
    </cfRule>
    <cfRule type="containsText" dxfId="0" priority="3" operator="containsText" text="Completed">
      <formula>NOT(ISERROR(SEARCH("Completed",J4)))</formula>
    </cfRule>
  </conditionalFormatting>
  <dataValidations count="2">
    <dataValidation type="list" allowBlank="1" showInputMessage="1" showErrorMessage="1" sqref="F3:F9" xr:uid="{F24444BB-4C3A-4F39-BCE0-182668D75680}">
      <formula1>$F$4:$F$9</formula1>
    </dataValidation>
    <dataValidation type="list" allowBlank="1" showInputMessage="1" showErrorMessage="1" sqref="J4:J9" xr:uid="{2BB19DAB-D7B2-44C2-AB4D-DE00B81E3CD7}">
      <formula1>$J$4:$J$9</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63632-02E5-48A1-B710-21D3C766C934}">
  <dimension ref="A3:E31"/>
  <sheetViews>
    <sheetView topLeftCell="A13" workbookViewId="0">
      <selection activeCell="B26" sqref="B26"/>
    </sheetView>
  </sheetViews>
  <sheetFormatPr defaultRowHeight="14.25" x14ac:dyDescent="0.2"/>
  <cols>
    <col min="1" max="1" width="13.75" customWidth="1"/>
    <col min="2" max="2" width="16.25" customWidth="1"/>
    <col min="3" max="3" width="10.625" customWidth="1"/>
    <col min="4" max="4" width="11" customWidth="1"/>
    <col min="5" max="5" width="11.25" customWidth="1"/>
    <col min="6" max="7" width="7" customWidth="1"/>
    <col min="8" max="8" width="11.25" customWidth="1"/>
  </cols>
  <sheetData>
    <row r="3" spans="1:3" x14ac:dyDescent="0.2">
      <c r="A3" s="6" t="s">
        <v>33</v>
      </c>
      <c r="B3" t="s">
        <v>39</v>
      </c>
      <c r="C3" t="s">
        <v>35</v>
      </c>
    </row>
    <row r="4" spans="1:3" x14ac:dyDescent="0.2">
      <c r="A4" s="7" t="s">
        <v>7</v>
      </c>
      <c r="B4" s="14">
        <v>4</v>
      </c>
      <c r="C4" s="14">
        <v>4</v>
      </c>
    </row>
    <row r="5" spans="1:3" x14ac:dyDescent="0.2">
      <c r="A5" s="7" t="s">
        <v>13</v>
      </c>
      <c r="B5" s="14">
        <v>2</v>
      </c>
      <c r="C5" s="14">
        <v>2</v>
      </c>
    </row>
    <row r="6" spans="1:3" x14ac:dyDescent="0.2">
      <c r="A6" s="7" t="s">
        <v>15</v>
      </c>
      <c r="B6" s="14">
        <v>2</v>
      </c>
      <c r="C6" s="14">
        <v>1</v>
      </c>
    </row>
    <row r="7" spans="1:3" x14ac:dyDescent="0.2">
      <c r="A7" s="7" t="s">
        <v>10</v>
      </c>
      <c r="B7" s="14">
        <v>4</v>
      </c>
      <c r="C7" s="14">
        <v>1.5</v>
      </c>
    </row>
    <row r="8" spans="1:3" x14ac:dyDescent="0.2">
      <c r="A8" s="7" t="s">
        <v>34</v>
      </c>
      <c r="B8" s="14">
        <v>12</v>
      </c>
      <c r="C8" s="14">
        <v>8.5</v>
      </c>
    </row>
    <row r="10" spans="1:3" x14ac:dyDescent="0.2">
      <c r="A10" s="6" t="s">
        <v>33</v>
      </c>
      <c r="B10" t="s">
        <v>40</v>
      </c>
    </row>
    <row r="11" spans="1:3" x14ac:dyDescent="0.2">
      <c r="A11" s="7" t="s">
        <v>9</v>
      </c>
      <c r="B11" s="14">
        <v>3</v>
      </c>
    </row>
    <row r="12" spans="1:3" x14ac:dyDescent="0.2">
      <c r="A12" s="7" t="s">
        <v>12</v>
      </c>
      <c r="B12" s="14">
        <v>2</v>
      </c>
    </row>
    <row r="13" spans="1:3" x14ac:dyDescent="0.2">
      <c r="A13" s="7" t="s">
        <v>19</v>
      </c>
      <c r="B13" s="14">
        <v>1</v>
      </c>
    </row>
    <row r="14" spans="1:3" x14ac:dyDescent="0.2">
      <c r="A14" s="7" t="s">
        <v>34</v>
      </c>
      <c r="B14" s="14">
        <v>6</v>
      </c>
    </row>
    <row r="16" spans="1:3" x14ac:dyDescent="0.2">
      <c r="A16" s="6" t="s">
        <v>40</v>
      </c>
      <c r="B16" s="6" t="s">
        <v>41</v>
      </c>
    </row>
    <row r="17" spans="1:5" x14ac:dyDescent="0.2">
      <c r="A17" s="6" t="s">
        <v>33</v>
      </c>
      <c r="B17" t="s">
        <v>9</v>
      </c>
      <c r="C17" t="s">
        <v>12</v>
      </c>
      <c r="D17" t="s">
        <v>19</v>
      </c>
      <c r="E17" t="s">
        <v>34</v>
      </c>
    </row>
    <row r="18" spans="1:5" x14ac:dyDescent="0.2">
      <c r="A18" s="7" t="s">
        <v>7</v>
      </c>
      <c r="B18" s="14">
        <v>2</v>
      </c>
      <c r="C18" s="14"/>
      <c r="D18" s="14"/>
      <c r="E18" s="14">
        <v>2</v>
      </c>
    </row>
    <row r="19" spans="1:5" x14ac:dyDescent="0.2">
      <c r="A19" s="7" t="s">
        <v>13</v>
      </c>
      <c r="B19" s="14">
        <v>1</v>
      </c>
      <c r="C19" s="14"/>
      <c r="D19" s="14"/>
      <c r="E19" s="14">
        <v>1</v>
      </c>
    </row>
    <row r="20" spans="1:5" x14ac:dyDescent="0.2">
      <c r="A20" s="7" t="s">
        <v>15</v>
      </c>
      <c r="B20" s="14"/>
      <c r="C20" s="14">
        <v>1</v>
      </c>
      <c r="D20" s="14"/>
      <c r="E20" s="14">
        <v>1</v>
      </c>
    </row>
    <row r="21" spans="1:5" x14ac:dyDescent="0.2">
      <c r="A21" s="7" t="s">
        <v>10</v>
      </c>
      <c r="B21" s="14"/>
      <c r="C21" s="14">
        <v>1</v>
      </c>
      <c r="D21" s="14">
        <v>1</v>
      </c>
      <c r="E21" s="14">
        <v>2</v>
      </c>
    </row>
    <row r="22" spans="1:5" x14ac:dyDescent="0.2">
      <c r="A22" s="7" t="s">
        <v>34</v>
      </c>
      <c r="B22" s="14">
        <v>3</v>
      </c>
      <c r="C22" s="14">
        <v>2</v>
      </c>
      <c r="D22" s="14">
        <v>1</v>
      </c>
      <c r="E22" s="14">
        <v>6</v>
      </c>
    </row>
    <row r="24" spans="1:5" x14ac:dyDescent="0.2">
      <c r="A24" s="6" t="s">
        <v>33</v>
      </c>
      <c r="B24" t="s">
        <v>43</v>
      </c>
    </row>
    <row r="25" spans="1:5" x14ac:dyDescent="0.2">
      <c r="A25" s="15">
        <v>46251</v>
      </c>
      <c r="B25" s="16">
        <v>1</v>
      </c>
    </row>
    <row r="26" spans="1:5" x14ac:dyDescent="0.2">
      <c r="A26" s="15">
        <v>46252</v>
      </c>
      <c r="B26" s="16">
        <v>0.5</v>
      </c>
    </row>
    <row r="27" spans="1:5" x14ac:dyDescent="0.2">
      <c r="A27" s="15">
        <v>46253</v>
      </c>
      <c r="B27" s="16">
        <v>1</v>
      </c>
    </row>
    <row r="28" spans="1:5" x14ac:dyDescent="0.2">
      <c r="A28" s="15">
        <v>46254</v>
      </c>
      <c r="B28" s="16">
        <v>0.5</v>
      </c>
    </row>
    <row r="29" spans="1:5" x14ac:dyDescent="0.2">
      <c r="A29" s="15">
        <v>46255</v>
      </c>
      <c r="B29" s="16">
        <v>1</v>
      </c>
    </row>
    <row r="30" spans="1:5" x14ac:dyDescent="0.2">
      <c r="A30" s="15">
        <v>46256</v>
      </c>
      <c r="B30" s="16">
        <v>0</v>
      </c>
    </row>
    <row r="31" spans="1:5" x14ac:dyDescent="0.2">
      <c r="A31" s="15" t="s">
        <v>34</v>
      </c>
      <c r="B31" s="16">
        <v>0.66666666666666663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D7B48-5122-41A8-B657-48AC4F4C761B}">
  <dimension ref="B3:B14"/>
  <sheetViews>
    <sheetView zoomScale="130" zoomScaleNormal="130" workbookViewId="0">
      <selection activeCell="B12" sqref="B12:B14"/>
    </sheetView>
  </sheetViews>
  <sheetFormatPr defaultRowHeight="14.25" x14ac:dyDescent="0.2"/>
  <cols>
    <col min="2" max="2" width="15" customWidth="1"/>
  </cols>
  <sheetData>
    <row r="3" spans="2:2" x14ac:dyDescent="0.2">
      <c r="B3" t="s">
        <v>20</v>
      </c>
    </row>
    <row r="4" spans="2:2" x14ac:dyDescent="0.2">
      <c r="B4" t="s">
        <v>7</v>
      </c>
    </row>
    <row r="5" spans="2:2" x14ac:dyDescent="0.2">
      <c r="B5" t="s">
        <v>10</v>
      </c>
    </row>
    <row r="6" spans="2:2" x14ac:dyDescent="0.2">
      <c r="B6" t="s">
        <v>13</v>
      </c>
    </row>
    <row r="7" spans="2:2" x14ac:dyDescent="0.2">
      <c r="B7" t="s">
        <v>15</v>
      </c>
    </row>
    <row r="8" spans="2:2" x14ac:dyDescent="0.2">
      <c r="B8" t="s">
        <v>21</v>
      </c>
    </row>
    <row r="9" spans="2:2" x14ac:dyDescent="0.2">
      <c r="B9" t="s">
        <v>22</v>
      </c>
    </row>
    <row r="11" spans="2:2" x14ac:dyDescent="0.2">
      <c r="B11" t="s">
        <v>23</v>
      </c>
    </row>
    <row r="12" spans="2:2" x14ac:dyDescent="0.2">
      <c r="B12" t="s">
        <v>9</v>
      </c>
    </row>
    <row r="13" spans="2:2" x14ac:dyDescent="0.2">
      <c r="B13" t="s">
        <v>12</v>
      </c>
    </row>
    <row r="14" spans="2:2" x14ac:dyDescent="0.2">
      <c r="B14"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5CB0-09DA-4E09-BBC3-EF362B635689}">
  <dimension ref="A1:I5"/>
  <sheetViews>
    <sheetView workbookViewId="0">
      <selection activeCell="A3" sqref="A3:I5"/>
    </sheetView>
  </sheetViews>
  <sheetFormatPr defaultRowHeight="14.25" x14ac:dyDescent="0.2"/>
  <cols>
    <col min="1" max="1" width="9.625" customWidth="1"/>
    <col min="2" max="2" width="9.25" customWidth="1"/>
    <col min="3" max="3" width="11.625" customWidth="1"/>
    <col min="4" max="4" width="16.25" customWidth="1"/>
    <col min="5" max="5" width="14.375" customWidth="1"/>
    <col min="6" max="6" width="10.75" customWidth="1"/>
    <col min="7" max="7" width="10" customWidth="1"/>
    <col min="8" max="8" width="11.25" customWidth="1"/>
    <col min="9" max="9" width="15.75" customWidth="1"/>
  </cols>
  <sheetData>
    <row r="1" spans="1:9" x14ac:dyDescent="0.2">
      <c r="A1" s="9" t="s">
        <v>37</v>
      </c>
    </row>
    <row r="3" spans="1:9" x14ac:dyDescent="0.2">
      <c r="A3" t="s">
        <v>0</v>
      </c>
      <c r="B3" t="s">
        <v>1</v>
      </c>
      <c r="C3" t="s">
        <v>2</v>
      </c>
      <c r="D3" t="s">
        <v>3</v>
      </c>
      <c r="E3" t="s">
        <v>4</v>
      </c>
      <c r="F3" t="s">
        <v>5</v>
      </c>
      <c r="G3" t="s">
        <v>6</v>
      </c>
      <c r="H3" t="s">
        <v>28</v>
      </c>
      <c r="I3" t="s">
        <v>24</v>
      </c>
    </row>
    <row r="4" spans="1:9" x14ac:dyDescent="0.2">
      <c r="A4" s="8">
        <v>46251</v>
      </c>
      <c r="B4" t="s">
        <v>7</v>
      </c>
      <c r="C4" t="s">
        <v>8</v>
      </c>
      <c r="D4">
        <v>2</v>
      </c>
      <c r="E4">
        <v>2</v>
      </c>
      <c r="F4" t="s">
        <v>9</v>
      </c>
      <c r="G4">
        <v>0.9</v>
      </c>
      <c r="H4" t="s">
        <v>36</v>
      </c>
      <c r="I4">
        <v>0</v>
      </c>
    </row>
    <row r="5" spans="1:9" x14ac:dyDescent="0.2">
      <c r="A5" s="8">
        <v>46255</v>
      </c>
      <c r="B5" t="s">
        <v>7</v>
      </c>
      <c r="C5" t="s">
        <v>17</v>
      </c>
      <c r="D5">
        <v>2</v>
      </c>
      <c r="E5">
        <v>2</v>
      </c>
      <c r="F5" t="s">
        <v>9</v>
      </c>
      <c r="G5">
        <v>0.95</v>
      </c>
      <c r="H5" t="s">
        <v>36</v>
      </c>
      <c r="I5">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9EC7-8BEA-43C4-B8CC-7EB32EC9D310}">
  <dimension ref="A1:I5"/>
  <sheetViews>
    <sheetView workbookViewId="0">
      <selection activeCell="A3" sqref="A3:I5"/>
    </sheetView>
  </sheetViews>
  <sheetFormatPr defaultRowHeight="14.25" x14ac:dyDescent="0.2"/>
  <cols>
    <col min="1" max="1" width="9.625" customWidth="1"/>
    <col min="2" max="2" width="9.25" customWidth="1"/>
    <col min="3" max="3" width="11.625" customWidth="1"/>
    <col min="4" max="4" width="16.25" customWidth="1"/>
    <col min="5" max="5" width="14.375" customWidth="1"/>
    <col min="6" max="6" width="10.75" customWidth="1"/>
    <col min="7" max="7" width="10" customWidth="1"/>
    <col min="8" max="8" width="11.25" customWidth="1"/>
    <col min="9" max="9" width="15.75" customWidth="1"/>
  </cols>
  <sheetData>
    <row r="1" spans="1:9" x14ac:dyDescent="0.2">
      <c r="A1" s="9" t="s">
        <v>38</v>
      </c>
    </row>
    <row r="3" spans="1:9" x14ac:dyDescent="0.2">
      <c r="A3" t="s">
        <v>0</v>
      </c>
      <c r="B3" t="s">
        <v>1</v>
      </c>
      <c r="C3" t="s">
        <v>2</v>
      </c>
      <c r="D3" t="s">
        <v>3</v>
      </c>
      <c r="E3" t="s">
        <v>4</v>
      </c>
      <c r="F3" t="s">
        <v>5</v>
      </c>
      <c r="G3" t="s">
        <v>6</v>
      </c>
      <c r="H3" t="s">
        <v>28</v>
      </c>
      <c r="I3" t="s">
        <v>24</v>
      </c>
    </row>
    <row r="4" spans="1:9" x14ac:dyDescent="0.2">
      <c r="A4" s="8">
        <v>46251</v>
      </c>
      <c r="B4" t="s">
        <v>7</v>
      </c>
      <c r="C4" t="s">
        <v>8</v>
      </c>
      <c r="D4">
        <v>2</v>
      </c>
      <c r="E4">
        <v>2</v>
      </c>
      <c r="F4" t="s">
        <v>9</v>
      </c>
      <c r="G4">
        <v>0.9</v>
      </c>
      <c r="H4" t="s">
        <v>36</v>
      </c>
      <c r="I4">
        <v>0</v>
      </c>
    </row>
    <row r="5" spans="1:9" x14ac:dyDescent="0.2">
      <c r="A5" s="8">
        <v>46255</v>
      </c>
      <c r="B5" t="s">
        <v>7</v>
      </c>
      <c r="C5" t="s">
        <v>17</v>
      </c>
      <c r="D5">
        <v>2</v>
      </c>
      <c r="E5">
        <v>2</v>
      </c>
      <c r="F5" t="s">
        <v>9</v>
      </c>
      <c r="G5">
        <v>0.95</v>
      </c>
      <c r="H5" t="s">
        <v>36</v>
      </c>
      <c r="I5">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3554-3BBC-4F84-9233-D2FE5CED2F50}">
  <dimension ref="B4:D16"/>
  <sheetViews>
    <sheetView zoomScale="98" zoomScaleNormal="98" workbookViewId="0">
      <selection activeCell="D11" sqref="D11"/>
    </sheetView>
  </sheetViews>
  <sheetFormatPr defaultRowHeight="14.25" x14ac:dyDescent="0.2"/>
  <cols>
    <col min="1" max="1" width="16.625" bestFit="1" customWidth="1"/>
    <col min="2" max="2" width="18.875" customWidth="1"/>
    <col min="3" max="3" width="14.5" customWidth="1"/>
    <col min="6" max="13" width="8"/>
    <col min="14" max="14" width="9.375" bestFit="1" customWidth="1"/>
  </cols>
  <sheetData>
    <row r="4" spans="2:4" x14ac:dyDescent="0.2">
      <c r="B4" t="s">
        <v>25</v>
      </c>
      <c r="D4">
        <f>SUM(ProgressData[Planned Hours])</f>
        <v>12</v>
      </c>
    </row>
    <row r="6" spans="2:4" x14ac:dyDescent="0.2">
      <c r="B6" t="s">
        <v>26</v>
      </c>
      <c r="D6">
        <f>SUM(Actual_Hours)</f>
        <v>8.5</v>
      </c>
    </row>
    <row r="8" spans="2:4" x14ac:dyDescent="0.2">
      <c r="B8" t="s">
        <v>27</v>
      </c>
      <c r="D8" s="10">
        <f>AVERAGE(Progress)</f>
        <v>0.66666666666666663</v>
      </c>
    </row>
    <row r="10" spans="2:4" x14ac:dyDescent="0.2">
      <c r="B10" t="s">
        <v>29</v>
      </c>
      <c r="D10" s="11">
        <f>AVERAGE(Score)*100</f>
        <v>69.166666666666671</v>
      </c>
    </row>
    <row r="12" spans="2:4" x14ac:dyDescent="0.2">
      <c r="B12" t="s">
        <v>30</v>
      </c>
      <c r="D12">
        <f>COUNTIF(Status,"Completed")</f>
        <v>3</v>
      </c>
    </row>
    <row r="14" spans="2:4" x14ac:dyDescent="0.2">
      <c r="B14" t="s">
        <v>31</v>
      </c>
      <c r="D14">
        <f>COUNTA(Topic)</f>
        <v>6</v>
      </c>
    </row>
    <row r="16" spans="2:4" x14ac:dyDescent="0.2">
      <c r="B16" t="s">
        <v>32</v>
      </c>
      <c r="D16" s="10">
        <f>D12/D14</f>
        <v>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6A20C-5441-4613-B6A4-1EA7C02D974C}">
  <dimension ref="A1:W7"/>
  <sheetViews>
    <sheetView showGridLines="0" tabSelected="1" zoomScaleNormal="100" workbookViewId="0">
      <selection activeCell="V15" sqref="V15"/>
    </sheetView>
  </sheetViews>
  <sheetFormatPr defaultRowHeight="14.25" x14ac:dyDescent="0.2"/>
  <sheetData>
    <row r="1" spans="1:23" ht="15" customHeight="1" x14ac:dyDescent="0.2">
      <c r="A1" s="26" t="s">
        <v>42</v>
      </c>
      <c r="B1" s="26"/>
      <c r="C1" s="26"/>
      <c r="D1" s="26"/>
      <c r="E1" s="26"/>
      <c r="F1" s="26"/>
      <c r="G1" s="26"/>
      <c r="H1" s="26"/>
      <c r="I1" s="26"/>
      <c r="J1" s="26"/>
      <c r="K1" s="26"/>
      <c r="L1" s="26"/>
      <c r="M1" s="26"/>
      <c r="N1" s="26"/>
      <c r="O1" s="26"/>
      <c r="P1" s="26"/>
      <c r="Q1" s="26"/>
      <c r="R1" s="26"/>
      <c r="S1" s="26"/>
      <c r="T1" s="26"/>
      <c r="U1" s="26"/>
      <c r="V1" s="26"/>
      <c r="W1" s="26"/>
    </row>
    <row r="2" spans="1:23" x14ac:dyDescent="0.2">
      <c r="A2" s="26"/>
      <c r="B2" s="26"/>
      <c r="C2" s="26"/>
      <c r="D2" s="26"/>
      <c r="E2" s="26"/>
      <c r="F2" s="26"/>
      <c r="G2" s="26"/>
      <c r="H2" s="26"/>
      <c r="I2" s="26"/>
      <c r="J2" s="26"/>
      <c r="K2" s="26"/>
      <c r="L2" s="26"/>
      <c r="M2" s="26"/>
      <c r="N2" s="26"/>
      <c r="O2" s="26"/>
      <c r="P2" s="26"/>
      <c r="Q2" s="26"/>
      <c r="R2" s="26"/>
      <c r="S2" s="26"/>
      <c r="T2" s="26"/>
      <c r="U2" s="26"/>
      <c r="V2" s="26"/>
      <c r="W2" s="26"/>
    </row>
    <row r="3" spans="1:23" ht="15" customHeight="1" x14ac:dyDescent="0.2">
      <c r="A3" s="24" t="s">
        <v>31</v>
      </c>
      <c r="B3" s="24"/>
      <c r="C3" s="17"/>
      <c r="D3" s="24" t="s">
        <v>30</v>
      </c>
      <c r="E3" s="24"/>
      <c r="G3" s="24" t="s">
        <v>32</v>
      </c>
      <c r="H3" s="24"/>
      <c r="J3" s="24" t="s">
        <v>3</v>
      </c>
      <c r="K3" s="24"/>
      <c r="M3" s="24" t="s">
        <v>4</v>
      </c>
      <c r="N3" s="24"/>
      <c r="O3" s="19"/>
      <c r="P3" s="24" t="s">
        <v>29</v>
      </c>
      <c r="Q3" s="24"/>
      <c r="S3" s="17"/>
      <c r="T3" s="13"/>
      <c r="W3" s="21"/>
    </row>
    <row r="4" spans="1:23" ht="14.25" customHeight="1" x14ac:dyDescent="0.2">
      <c r="A4" s="24"/>
      <c r="B4" s="24"/>
      <c r="C4" s="17"/>
      <c r="D4" s="23">
        <f>COUNTIF(Status,"Completed")</f>
        <v>3</v>
      </c>
      <c r="E4" s="23"/>
      <c r="G4" s="24"/>
      <c r="H4" s="24"/>
      <c r="J4" s="24"/>
      <c r="K4" s="24"/>
      <c r="M4" s="24"/>
      <c r="N4" s="24"/>
      <c r="O4" s="19"/>
      <c r="P4" s="24"/>
      <c r="Q4" s="24"/>
      <c r="S4" s="17"/>
      <c r="T4" s="13"/>
      <c r="W4" s="21"/>
    </row>
    <row r="5" spans="1:23" ht="15" customHeight="1" x14ac:dyDescent="0.2">
      <c r="A5" s="23">
        <f>COUNTA(Topic)</f>
        <v>6</v>
      </c>
      <c r="B5" s="23"/>
      <c r="C5" s="18"/>
      <c r="D5" s="23"/>
      <c r="E5" s="23"/>
      <c r="G5" s="25">
        <f>D4/A5</f>
        <v>0.5</v>
      </c>
      <c r="H5" s="25"/>
      <c r="J5" s="23">
        <f>SUM(ProgressData[Planned Hours])</f>
        <v>12</v>
      </c>
      <c r="K5" s="23"/>
      <c r="M5" s="23">
        <f>SUM(Actual_Hours)</f>
        <v>8.5</v>
      </c>
      <c r="N5" s="23"/>
      <c r="O5" s="20"/>
      <c r="P5" s="25">
        <f>AVERAGE(Score)</f>
        <v>0.69166666666666676</v>
      </c>
      <c r="Q5" s="25"/>
      <c r="S5" s="18"/>
      <c r="T5" s="13"/>
      <c r="W5" s="22"/>
    </row>
    <row r="6" spans="1:23" ht="15" customHeight="1" x14ac:dyDescent="0.2">
      <c r="A6" s="23"/>
      <c r="B6" s="23"/>
      <c r="C6" s="18"/>
      <c r="D6" s="23"/>
      <c r="E6" s="23"/>
      <c r="G6" s="25"/>
      <c r="H6" s="25"/>
      <c r="J6" s="23"/>
      <c r="K6" s="23"/>
      <c r="M6" s="23"/>
      <c r="N6" s="23"/>
      <c r="O6" s="20"/>
      <c r="P6" s="25"/>
      <c r="Q6" s="25"/>
      <c r="S6" s="18"/>
      <c r="T6" s="13"/>
      <c r="W6" s="22"/>
    </row>
    <row r="7" spans="1:23" ht="15" customHeight="1" x14ac:dyDescent="0.2">
      <c r="A7" s="23"/>
      <c r="B7" s="23"/>
      <c r="C7" s="18"/>
      <c r="D7" s="23"/>
      <c r="E7" s="23"/>
      <c r="G7" s="25"/>
      <c r="H7" s="25"/>
      <c r="J7" s="23"/>
      <c r="K7" s="23"/>
      <c r="M7" s="23"/>
      <c r="N7" s="23"/>
      <c r="O7" s="20"/>
      <c r="P7" s="25"/>
      <c r="Q7" s="25"/>
      <c r="S7" s="18"/>
      <c r="T7" s="13"/>
      <c r="W7" s="22"/>
    </row>
  </sheetData>
  <mergeCells count="13">
    <mergeCell ref="D3:E3"/>
    <mergeCell ref="D4:E7"/>
    <mergeCell ref="M5:N7"/>
    <mergeCell ref="P3:Q4"/>
    <mergeCell ref="P5:Q7"/>
    <mergeCell ref="J3:K4"/>
    <mergeCell ref="J5:K7"/>
    <mergeCell ref="M3:N4"/>
    <mergeCell ref="A3:B4"/>
    <mergeCell ref="A5:B7"/>
    <mergeCell ref="G3:H4"/>
    <mergeCell ref="G5:H7"/>
    <mergeCell ref="A1:W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Data</vt:lpstr>
      <vt:lpstr>Skill Analysis</vt:lpstr>
      <vt:lpstr>Lists</vt:lpstr>
      <vt:lpstr>Detail1</vt:lpstr>
      <vt:lpstr>Detail2</vt:lpstr>
      <vt:lpstr>Analysis</vt:lpstr>
      <vt:lpstr>Dashboard</vt:lpstr>
      <vt:lpstr>_100</vt:lpstr>
      <vt:lpstr>_17_Aug</vt:lpstr>
      <vt:lpstr>Actual_Hours</vt:lpstr>
      <vt:lpstr>Completed</vt:lpstr>
      <vt:lpstr>Date</vt:lpstr>
      <vt:lpstr>Excel</vt:lpstr>
      <vt:lpstr>Hour_Variance</vt:lpstr>
      <vt:lpstr>Pivot_Tables</vt:lpstr>
      <vt:lpstr>Planned_Hours</vt:lpstr>
      <vt:lpstr>Progress</vt:lpstr>
      <vt:lpstr>Score</vt:lpstr>
      <vt:lpstr>Skill</vt:lpstr>
      <vt:lpstr>Status</vt:lpstr>
      <vt:lpstr>Topic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Ammara Bano</dc:creator>
  <cp:lastModifiedBy>Ammara Bano</cp:lastModifiedBy>
  <dcterms:created xsi:type="dcterms:W3CDTF">2026-09-06T23:50:27Z</dcterms:created>
  <dcterms:modified xsi:type="dcterms:W3CDTF">2026-09-07T17:59:30Z</dcterms:modified>
</cp:coreProperties>
</file>